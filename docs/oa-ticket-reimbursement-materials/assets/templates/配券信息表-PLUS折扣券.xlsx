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13_ncr:1_{F3EE4DF7-0541-43D6-A379-C0F8F1166D84}" xr6:coauthVersionLast="47" xr6:coauthVersionMax="47" xr10:uidLastSave="{00000000-0000-0000-0000-000000000000}"/>
  <bookViews>
    <workbookView xWindow="1680" yWindow="-16320" windowWidth="29040" windowHeight="15720" xr2:uid="{116E0738-B4DB-42AE-BF0E-527B10634C3F}"/>
  </bookViews>
  <sheets>
    <sheet name="折扣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W3" i="1" s="1"/>
  <c r="K5" i="1"/>
  <c r="K3" i="1"/>
  <c r="X5" i="1"/>
  <c r="W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ATrenew</author>
  </authors>
  <commentList>
    <comment ref="K3" authorId="0" shapeId="0" xr:uid="{FCA8C9F2-1F7F-4ACB-9898-CC8A3708A482}">
      <text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b/>
            <sz val="9"/>
            <color indexed="81"/>
            <rFont val="宋体"/>
            <family val="3"/>
            <charset val="134"/>
          </rPr>
          <t>情况1：填写时请删除该批注，主要区别在于红色填充列</t>
        </r>
      </text>
    </comment>
    <comment ref="K5" authorId="0" shapeId="0" xr:uid="{B554B09D-0A6B-4023-90B6-A8ACD6A6BC92}">
      <text>
        <r>
          <rPr>
            <b/>
            <sz val="9"/>
            <color indexed="81"/>
            <rFont val="宋体"/>
            <family val="3"/>
            <charset val="134"/>
          </rPr>
          <t>情况2：填写时请删除该批注，主要区别在于红色填充列</t>
        </r>
      </text>
    </comment>
  </commentList>
</comments>
</file>

<file path=xl/sharedStrings.xml><?xml version="1.0" encoding="utf-8"?>
<sst xmlns="http://schemas.openxmlformats.org/spreadsheetml/2006/main" count="98" uniqueCount="81">
  <si>
    <t>批次Id</t>
  </si>
  <si>
    <t>优惠券活动配置KEY(putKey)</t>
  </si>
  <si>
    <t>PC端领券链接</t>
  </si>
  <si>
    <t>M端领券链接</t>
  </si>
  <si>
    <t>申请人</t>
  </si>
  <si>
    <t>活动名称</t>
  </si>
  <si>
    <t>总申请数量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</si>
  <si>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</si>
  <si>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</si>
  <si>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</si>
  <si>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</si>
  <si>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</si>
  <si>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</si>
  <si>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</si>
  <si>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</si>
  <si>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</si>
  <si>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活动ID</t>
  </si>
  <si>
    <t>配券人填写，优惠券生效后反馈</t>
    <phoneticPr fontId="2" type="noConversion"/>
  </si>
  <si>
    <t>填写申请优惠券人姓名</t>
    <phoneticPr fontId="2" type="noConversion"/>
  </si>
  <si>
    <t>可领时间</t>
    <phoneticPr fontId="2" type="noConversion"/>
  </si>
  <si>
    <t>可用时间</t>
    <phoneticPr fontId="2" type="noConversion"/>
  </si>
  <si>
    <t>优惠券活动支持用户领取或发放时间</t>
    <phoneticPr fontId="2" type="noConversion"/>
  </si>
  <si>
    <t>优惠券支持用户领取到账后使用的时间</t>
    <phoneticPr fontId="2" type="noConversion"/>
  </si>
  <si>
    <t>此优惠券活动申请总量，最大可支持发放张数上限</t>
    <phoneticPr fontId="2" type="noConversion"/>
  </si>
  <si>
    <t>单次发放到账张数</t>
    <phoneticPr fontId="2" type="noConversion"/>
  </si>
  <si>
    <t>每日领取次数</t>
    <phoneticPr fontId="2" type="noConversion"/>
  </si>
  <si>
    <t>用户领取一次或者一次发放行为，同时到账的优惠券数量。例：单次到账张数2，用户在前台点击领取1次，同时到账2张券</t>
    <phoneticPr fontId="2" type="noConversion"/>
  </si>
  <si>
    <t>优惠券每天支持领取的时间，及每天该时间段支持领取的最大次数（非时段发放张数）例：单次发放到账张数为2，每日领取次数为500，则可支持500次用户领取1000张券</t>
    <phoneticPr fontId="2" type="noConversion"/>
  </si>
  <si>
    <t>此处有公式可复用</t>
    <phoneticPr fontId="2" type="noConversion"/>
  </si>
  <si>
    <t>平台承担优惠券费用的比例
严选和自营店铺都是平台承担默认100%</t>
    <phoneticPr fontId="2" type="noConversion"/>
  </si>
  <si>
    <t>根据业务情况预估</t>
    <phoneticPr fontId="2" type="noConversion"/>
  </si>
  <si>
    <t>根据业务情况预估
（建券侧可提供历史批次数据参考）</t>
    <phoneticPr fontId="2" type="noConversion"/>
  </si>
  <si>
    <t>东券</t>
    <phoneticPr fontId="2" type="noConversion"/>
  </si>
  <si>
    <t>限品类平台券默认东券</t>
    <phoneticPr fontId="2" type="noConversion"/>
  </si>
  <si>
    <t>限SKU</t>
  </si>
  <si>
    <t>根据业务需求填写
（限sku、限spu、限店铺）</t>
    <phoneticPr fontId="2" type="noConversion"/>
  </si>
  <si>
    <t>领券用户风控</t>
    <phoneticPr fontId="2" type="noConversion"/>
  </si>
  <si>
    <t>0级以下用户可领</t>
    <phoneticPr fontId="2" type="noConversion"/>
  </si>
  <si>
    <t>根据平台侧风控规则
目前默认一律0级以下用户可领</t>
    <phoneticPr fontId="2" type="noConversion"/>
  </si>
  <si>
    <t>用户领券规则</t>
    <phoneticPr fontId="2" type="noConversion"/>
  </si>
  <si>
    <t>根据业务需求填写
（活动期间仅可领一次或者活动期间每天可领一次）</t>
    <phoneticPr fontId="2" type="noConversion"/>
  </si>
  <si>
    <t>优惠券赠送</t>
    <phoneticPr fontId="2" type="noConversion"/>
  </si>
  <si>
    <t>根据业务需求填写
（允许或者不允许）</t>
    <phoneticPr fontId="2" type="noConversion"/>
  </si>
  <si>
    <t>活动期间仅可领一次</t>
    <phoneticPr fontId="2" type="noConversion"/>
  </si>
  <si>
    <t>允许</t>
    <phoneticPr fontId="2" type="noConversion"/>
  </si>
  <si>
    <t>推广途径</t>
    <phoneticPr fontId="2" type="noConversion"/>
  </si>
  <si>
    <t>根据业务需求填写</t>
    <phoneticPr fontId="2" type="noConversion"/>
  </si>
  <si>
    <t>公开自动推广</t>
    <phoneticPr fontId="2" type="noConversion"/>
  </si>
  <si>
    <t>根据业务需求填写
（公开自动推广或者非公开推广）</t>
    <phoneticPr fontId="2" type="noConversion"/>
  </si>
  <si>
    <t>公开推广渠道</t>
    <phoneticPr fontId="2" type="noConversion"/>
  </si>
  <si>
    <t>单品页购物车、领券中心</t>
    <phoneticPr fontId="2" type="noConversion"/>
  </si>
  <si>
    <t>12.7 0:00-12.8 23:59</t>
    <phoneticPr fontId="3" type="noConversion"/>
  </si>
  <si>
    <t>电脑数码双12开门红</t>
    <phoneticPr fontId="2" type="noConversion"/>
  </si>
  <si>
    <t>用券渠道</t>
    <phoneticPr fontId="2" type="noConversion"/>
  </si>
  <si>
    <t>xxx</t>
    <phoneticPr fontId="2" type="noConversion"/>
  </si>
  <si>
    <t>京东商城</t>
    <phoneticPr fontId="2" type="noConversion"/>
  </si>
  <si>
    <r>
      <t>举例如上，</t>
    </r>
    <r>
      <rPr>
        <b/>
        <sz val="11"/>
        <color rgb="FFFF0000"/>
        <rFont val="等线"/>
        <family val="3"/>
        <charset val="134"/>
        <scheme val="minor"/>
      </rPr>
      <t>填写时请删除示意行，注意一行为一个批次活动，KEY用券链接都是不同的</t>
    </r>
    <phoneticPr fontId="2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</si>
  <si>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2" type="noConversion"/>
  </si>
  <si>
    <r>
      <rPr>
        <b/>
        <sz val="11"/>
        <color rgb="FFFF0000"/>
        <rFont val="等线"/>
        <family val="3"/>
        <charset val="134"/>
        <scheme val="minor"/>
      </rPr>
      <t>推广途径选择公开时填写</t>
    </r>
    <r>
      <rPr>
        <b/>
        <sz val="11"/>
        <color theme="1"/>
        <rFont val="等线"/>
        <family val="3"/>
        <charset val="134"/>
        <scheme val="minor"/>
      </rPr>
      <t xml:space="preserve">
（全网推广、单品页购物车、领券中心、公开券池）</t>
    </r>
    <r>
      <rPr>
        <b/>
        <sz val="11"/>
        <color rgb="FFFF0000"/>
        <rFont val="等线"/>
        <family val="3"/>
        <charset val="134"/>
        <scheme val="minor"/>
      </rPr>
      <t>可多选</t>
    </r>
    <phoneticPr fontId="2" type="noConversion"/>
  </si>
  <si>
    <t>折扣限额</t>
    <phoneticPr fontId="2" type="noConversion"/>
  </si>
  <si>
    <t>折扣力度</t>
    <phoneticPr fontId="2" type="noConversion"/>
  </si>
  <si>
    <t>折扣名称</t>
    <phoneticPr fontId="2" type="noConversion"/>
  </si>
  <si>
    <t>最高减额</t>
    <phoneticPr fontId="2" type="noConversion"/>
  </si>
  <si>
    <t>电脑数码双12开门红</t>
  </si>
  <si>
    <t>根据实际情况填写</t>
    <phoneticPr fontId="2" type="noConversion"/>
  </si>
  <si>
    <t>此处公式可参考使用</t>
    <phoneticPr fontId="2" type="noConversion"/>
  </si>
  <si>
    <t>东券</t>
  </si>
  <si>
    <t>0级以下用户可领</t>
  </si>
  <si>
    <t>允许</t>
  </si>
  <si>
    <t>公开自动推广</t>
  </si>
  <si>
    <t>单品页购物车、领券中心</t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</si>
  <si>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2" type="noConversion"/>
  </si>
  <si>
    <t>根据业务需求填写
折扣限额必须为正数，最多包含两位小数！</t>
    <phoneticPr fontId="2" type="noConversion"/>
  </si>
  <si>
    <t>根据业务需求填写
折扣力度必须为正数，最多包含一位小数~</t>
    <phoneticPr fontId="2" type="noConversion"/>
  </si>
  <si>
    <t>根据业务需求填写
【最高减额】必须为正数，最多包含两位小数~</t>
    <phoneticPr fontId="2" type="noConversion"/>
  </si>
  <si>
    <t>折扣券根据最高减额可有两种情况，情况1、情况2模板详见示例</t>
    <phoneticPr fontId="2" type="noConversion"/>
  </si>
  <si>
    <t>此模板为plus会员模板，统一填写plus会员</t>
    <phoneticPr fontId="2" type="noConversion"/>
  </si>
  <si>
    <t>PLUS会员</t>
    <phoneticPr fontId="2" type="noConversion"/>
  </si>
  <si>
    <t>领券用户</t>
    <phoneticPr fontId="2" type="noConversion"/>
  </si>
  <si>
    <t>请删除示意行</t>
  </si>
  <si>
    <t>请删除示意行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</si>
</sst>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0" fontId="6" fillId="5" borderId="5" xfId="1" applyNumberFormat="1" applyFont="1" applyFill="1" applyBorder="1" applyAlignment="1">
      <alignment horizontal="center" vertical="center" wrapText="1"/>
    </xf>
    <xf numFmtId="176" fontId="6" fillId="5" borderId="5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6" fillId="0" borderId="6" xfId="0" applyNumberFormat="1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6" fillId="0" borderId="6" xfId="0" applyNumberFormat="1" applyFont="1" applyBorder="1" applyAlignment="1">
      <alignment horizontal="center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AF34"/>
  <sheetViews>
    <sheetView tabSelected="1" zoomScale="85" zoomScaleNormal="85" workbookViewId="0">
      <selection activeCell="K16" sqref="K16"/>
    </sheetView>
  </sheetViews>
  <sheetFormatPr defaultRowHeight="13.8" x14ac:dyDescent="0.25"/>
  <cols>
    <col min="1" max="1" width="9.109375" style="1" customWidth="1"/>
    <col min="2" max="2" width="8.88671875" style="1"/>
    <col min="3" max="3" width="16.109375" style="1" customWidth="1"/>
    <col min="4" max="4" width="14.5546875" style="1" customWidth="1"/>
    <col min="5" max="7" width="16.44140625" style="1" customWidth="1"/>
    <col min="8" max="8" width="14" style="1" customWidth="1"/>
    <col min="9" max="9" width="11.44140625" style="1" customWidth="1"/>
    <col min="10" max="10" width="14.109375" style="1" customWidth="1"/>
    <col min="11" max="11" width="18.6640625" style="1" customWidth="1"/>
    <col min="12" max="12" width="12.5546875" style="1" customWidth="1"/>
    <col min="13" max="13" width="12.109375" style="1" customWidth="1"/>
    <col min="14" max="14" width="16.88671875" style="1" customWidth="1"/>
    <col min="15" max="15" width="24.77734375" style="1" customWidth="1"/>
    <col min="16" max="16" width="13.77734375" style="1" customWidth="1"/>
    <col min="17" max="18" width="14.5546875" style="1" customWidth="1"/>
    <col min="19" max="19" width="13.44140625" style="1" customWidth="1"/>
    <col min="20" max="20" width="14" style="1" customWidth="1"/>
    <col min="21" max="21" width="14.44140625" style="1" customWidth="1"/>
    <col min="22" max="22" width="11.77734375" style="1" customWidth="1"/>
    <col min="23" max="23" width="12.21875" style="1" customWidth="1"/>
    <col min="24" max="24" width="11.77734375" style="1" customWidth="1"/>
    <col min="25" max="25" width="10.6640625" style="1" customWidth="1"/>
    <col min="26" max="26" width="13.109375" style="1" customWidth="1"/>
    <col min="27" max="27" width="10.33203125" style="1" customWidth="1"/>
    <col min="28" max="28" width="19.21875" style="1" customWidth="1"/>
    <col min="29" max="29" width="22.44140625" style="1" customWidth="1"/>
    <col min="30" max="30" width="12" style="1" customWidth="1"/>
    <col min="31" max="31" width="21.5546875" style="1" customWidth="1"/>
    <col min="32" max="32" width="32.44140625" customWidth="1"/>
  </cols>
  <sheetData>
    <row r="1" spans="1:32" ht="61.8" customHeight="1" x14ac:dyDescent="0.25">
      <c r="A1" s="19" t="s">
        <v>75</v>
      </c>
    </row>
    <row r="2" spans="1:32" ht="47.4" customHeight="1" x14ac:dyDescent="0.25">
      <c r="A2" s="2" t="s">
        <v>16</v>
      </c>
      <c r="B2" s="2" t="s">
        <v>0</v>
      </c>
      <c r="C2" s="2" t="s">
        <v>1</v>
      </c>
      <c r="D2" s="2" t="s">
        <v>2</v>
      </c>
      <c r="E2" s="2" t="s">
        <v>3</v>
      </c>
      <c r="F2" s="7" t="s">
        <v>78</v>
      </c>
      <c r="G2" s="7" t="s">
        <v>53</v>
      </c>
      <c r="H2" s="7" t="s">
        <v>4</v>
      </c>
      <c r="I2" s="7" t="s">
        <v>19</v>
      </c>
      <c r="J2" s="7" t="s">
        <v>20</v>
      </c>
      <c r="K2" s="8" t="s">
        <v>61</v>
      </c>
      <c r="L2" s="7" t="s">
        <v>5</v>
      </c>
      <c r="M2" s="7" t="s">
        <v>6</v>
      </c>
      <c r="N2" s="7" t="s">
        <v>24</v>
      </c>
      <c r="O2" s="7" t="s">
        <v>25</v>
      </c>
      <c r="P2" s="8" t="s">
        <v>60</v>
      </c>
      <c r="Q2" s="8" t="s">
        <v>59</v>
      </c>
      <c r="R2" s="8" t="s">
        <v>62</v>
      </c>
      <c r="S2" s="7" t="s">
        <v>7</v>
      </c>
      <c r="T2" s="7" t="s">
        <v>8</v>
      </c>
      <c r="U2" s="7" t="s">
        <v>9</v>
      </c>
      <c r="V2" s="7" t="s">
        <v>10</v>
      </c>
      <c r="W2" s="7" t="s">
        <v>11</v>
      </c>
      <c r="X2" s="7" t="s">
        <v>12</v>
      </c>
      <c r="Y2" s="7" t="s">
        <v>13</v>
      </c>
      <c r="Z2" s="7" t="s">
        <v>14</v>
      </c>
      <c r="AA2" s="7" t="s">
        <v>15</v>
      </c>
      <c r="AB2" s="7" t="s">
        <v>36</v>
      </c>
      <c r="AC2" s="7" t="s">
        <v>39</v>
      </c>
      <c r="AD2" s="7" t="s">
        <v>41</v>
      </c>
      <c r="AE2" s="7" t="s">
        <v>45</v>
      </c>
      <c r="AF2" s="7" t="s">
        <v>49</v>
      </c>
    </row>
    <row r="3" spans="1:32" ht="48" customHeight="1" x14ac:dyDescent="0.25">
      <c r="A3" s="24" t="s">
        <v>79</v>
      </c>
      <c r="B3" s="24" t="s">
        <v>79</v>
      </c>
      <c r="C3" s="24" t="s">
        <v>79</v>
      </c>
      <c r="D3" s="24" t="s">
        <v>79</v>
      </c>
      <c r="E3" s="24" t="s">
        <v>79</v>
      </c>
      <c r="F3" s="39" t="s">
        <v>77</v>
      </c>
      <c r="G3" s="36" t="s">
        <v>55</v>
      </c>
      <c r="H3" s="36" t="s">
        <v>54</v>
      </c>
      <c r="I3" s="38" t="s">
        <v>51</v>
      </c>
      <c r="J3" s="22" t="s">
        <v>51</v>
      </c>
      <c r="K3" s="34" t="str">
        <f>"最高减额"&amp;R3&amp;"内折扣"</f>
        <v>最高减额300内折扣</v>
      </c>
      <c r="L3" s="22" t="s">
        <v>63</v>
      </c>
      <c r="M3" s="22">
        <v>2000</v>
      </c>
      <c r="N3" s="22">
        <v>2</v>
      </c>
      <c r="O3" s="22">
        <v>500</v>
      </c>
      <c r="P3" s="16">
        <v>9.5</v>
      </c>
      <c r="Q3" s="16">
        <v>1000</v>
      </c>
      <c r="R3" s="34">
        <v>300</v>
      </c>
      <c r="S3" s="17">
        <v>0.05</v>
      </c>
      <c r="T3" s="26">
        <v>0.1</v>
      </c>
      <c r="U3" s="26">
        <v>0.02</v>
      </c>
      <c r="V3" s="28">
        <v>0.5</v>
      </c>
      <c r="W3" s="41">
        <f>Y3/X3</f>
        <v>166.66499999999999</v>
      </c>
      <c r="X3" s="22">
        <f>R3*T3*U3*V3*M3</f>
        <v>600</v>
      </c>
      <c r="Y3" s="22">
        <v>99999</v>
      </c>
      <c r="Z3" s="22" t="s">
        <v>66</v>
      </c>
      <c r="AA3" s="22" t="s">
        <v>34</v>
      </c>
      <c r="AB3" s="22" t="s">
        <v>67</v>
      </c>
      <c r="AC3" s="22" t="s">
        <v>43</v>
      </c>
      <c r="AD3" s="22" t="s">
        <v>68</v>
      </c>
      <c r="AE3" s="22" t="s">
        <v>69</v>
      </c>
      <c r="AF3" s="22" t="s">
        <v>70</v>
      </c>
    </row>
    <row r="4" spans="1:32" ht="48.6" customHeight="1" x14ac:dyDescent="0.25">
      <c r="A4" s="25"/>
      <c r="B4" s="25"/>
      <c r="C4" s="25"/>
      <c r="D4" s="25"/>
      <c r="E4" s="25"/>
      <c r="F4" s="40"/>
      <c r="G4" s="37"/>
      <c r="H4" s="37"/>
      <c r="I4" s="38"/>
      <c r="J4" s="23"/>
      <c r="K4" s="35"/>
      <c r="L4" s="23"/>
      <c r="M4" s="23"/>
      <c r="N4" s="23"/>
      <c r="O4" s="23"/>
      <c r="P4" s="16">
        <v>9.1999999999999993</v>
      </c>
      <c r="Q4" s="16">
        <v>2000</v>
      </c>
      <c r="R4" s="35"/>
      <c r="S4" s="17">
        <v>0.08</v>
      </c>
      <c r="T4" s="27"/>
      <c r="U4" s="27"/>
      <c r="V4" s="29"/>
      <c r="W4" s="42"/>
      <c r="X4" s="23"/>
      <c r="Y4" s="23"/>
      <c r="Z4" s="23"/>
      <c r="AA4" s="23"/>
      <c r="AB4" s="23"/>
      <c r="AC4" s="23"/>
      <c r="AD4" s="23"/>
      <c r="AE4" s="23"/>
      <c r="AF4" s="23"/>
    </row>
    <row r="5" spans="1:32" s="1" customFormat="1" ht="57.6" customHeight="1" x14ac:dyDescent="0.25">
      <c r="A5" s="21" t="s">
        <v>80</v>
      </c>
      <c r="B5" s="21" t="s">
        <v>80</v>
      </c>
      <c r="C5" s="21" t="s">
        <v>80</v>
      </c>
      <c r="D5" s="21" t="s">
        <v>80</v>
      </c>
      <c r="E5" s="21" t="s">
        <v>80</v>
      </c>
      <c r="F5" s="20" t="s">
        <v>77</v>
      </c>
      <c r="G5" s="11" t="s">
        <v>55</v>
      </c>
      <c r="H5" s="11" t="s">
        <v>54</v>
      </c>
      <c r="I5" s="9" t="s">
        <v>51</v>
      </c>
      <c r="J5" s="10" t="s">
        <v>51</v>
      </c>
      <c r="K5" s="15" t="str">
        <f>"最高减额"&amp;R5&amp;"内折扣"</f>
        <v>最高减额500内折扣</v>
      </c>
      <c r="L5" s="10" t="s">
        <v>52</v>
      </c>
      <c r="M5" s="10">
        <v>2000</v>
      </c>
      <c r="N5" s="10">
        <v>2</v>
      </c>
      <c r="O5" s="10">
        <v>500</v>
      </c>
      <c r="P5" s="18">
        <v>9</v>
      </c>
      <c r="Q5" s="15">
        <v>3000</v>
      </c>
      <c r="R5" s="15">
        <v>500</v>
      </c>
      <c r="S5" s="17">
        <v>0.1</v>
      </c>
      <c r="T5" s="12">
        <v>0.1</v>
      </c>
      <c r="U5" s="12">
        <v>0.02</v>
      </c>
      <c r="V5" s="13">
        <v>0.5</v>
      </c>
      <c r="W5" s="14">
        <f>Y5/X5</f>
        <v>555.54999999999995</v>
      </c>
      <c r="X5" s="10">
        <f>M5*P5*U5*V5</f>
        <v>180</v>
      </c>
      <c r="Y5" s="10">
        <v>99999</v>
      </c>
      <c r="Z5" s="10" t="s">
        <v>32</v>
      </c>
      <c r="AA5" s="10" t="s">
        <v>34</v>
      </c>
      <c r="AB5" s="10" t="s">
        <v>37</v>
      </c>
      <c r="AC5" s="10" t="s">
        <v>43</v>
      </c>
      <c r="AD5" s="10" t="s">
        <v>44</v>
      </c>
      <c r="AE5" s="10" t="s">
        <v>47</v>
      </c>
      <c r="AF5" s="10" t="s">
        <v>50</v>
      </c>
    </row>
    <row r="6" spans="1:32" ht="158.4" customHeight="1" x14ac:dyDescent="0.25">
      <c r="A6" s="30" t="s">
        <v>17</v>
      </c>
      <c r="B6" s="31"/>
      <c r="C6" s="31"/>
      <c r="D6" s="31"/>
      <c r="E6" s="32"/>
      <c r="F6" s="3" t="s">
        <v>76</v>
      </c>
      <c r="G6" s="3" t="s">
        <v>57</v>
      </c>
      <c r="H6" s="4" t="s">
        <v>18</v>
      </c>
      <c r="I6" s="5" t="s">
        <v>21</v>
      </c>
      <c r="J6" s="5" t="s">
        <v>22</v>
      </c>
      <c r="K6" s="5" t="s">
        <v>71</v>
      </c>
      <c r="L6" s="5" t="s">
        <v>46</v>
      </c>
      <c r="M6" s="5" t="s">
        <v>23</v>
      </c>
      <c r="N6" s="5" t="s">
        <v>26</v>
      </c>
      <c r="O6" s="5" t="s">
        <v>27</v>
      </c>
      <c r="P6" s="5" t="s">
        <v>73</v>
      </c>
      <c r="Q6" s="5" t="s">
        <v>72</v>
      </c>
      <c r="R6" s="5" t="s">
        <v>74</v>
      </c>
      <c r="S6" s="5" t="s">
        <v>64</v>
      </c>
      <c r="T6" s="5" t="s">
        <v>31</v>
      </c>
      <c r="U6" s="5" t="s">
        <v>31</v>
      </c>
      <c r="V6" s="5" t="s">
        <v>29</v>
      </c>
      <c r="W6" s="5" t="s">
        <v>28</v>
      </c>
      <c r="X6" s="5" t="s">
        <v>65</v>
      </c>
      <c r="Y6" s="5" t="s">
        <v>30</v>
      </c>
      <c r="Z6" s="5" t="s">
        <v>33</v>
      </c>
      <c r="AA6" s="5" t="s">
        <v>35</v>
      </c>
      <c r="AB6" s="5" t="s">
        <v>38</v>
      </c>
      <c r="AC6" s="5" t="s">
        <v>40</v>
      </c>
      <c r="AD6" s="5" t="s">
        <v>42</v>
      </c>
      <c r="AE6" s="5" t="s">
        <v>48</v>
      </c>
      <c r="AF6" s="5" t="s">
        <v>58</v>
      </c>
    </row>
    <row r="7" spans="1:32" ht="21.6" customHeight="1" x14ac:dyDescent="0.25">
      <c r="A7" s="33" t="s">
        <v>56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34" spans="16:16" x14ac:dyDescent="0.25">
      <c r="P34" s="6"/>
    </row>
  </sheetData>
  <mergeCells count="31">
    <mergeCell ref="AF3:AF4"/>
    <mergeCell ref="AA3:AA4"/>
    <mergeCell ref="AB3:AB4"/>
    <mergeCell ref="AC3:AC4"/>
    <mergeCell ref="AD3:AD4"/>
    <mergeCell ref="AE3:AE4"/>
    <mergeCell ref="A7:AF7"/>
    <mergeCell ref="R3:R4"/>
    <mergeCell ref="N3:N4"/>
    <mergeCell ref="O3:O4"/>
    <mergeCell ref="G3:G4"/>
    <mergeCell ref="H3:H4"/>
    <mergeCell ref="I3:I4"/>
    <mergeCell ref="J3:J4"/>
    <mergeCell ref="K3:K4"/>
    <mergeCell ref="L3:L4"/>
    <mergeCell ref="M3:M4"/>
    <mergeCell ref="F3:F4"/>
    <mergeCell ref="W3:W4"/>
    <mergeCell ref="X3:X4"/>
    <mergeCell ref="Y3:Y4"/>
    <mergeCell ref="Z3:Z4"/>
    <mergeCell ref="A3:A4"/>
    <mergeCell ref="T3:T4"/>
    <mergeCell ref="U3:U4"/>
    <mergeCell ref="V3:V4"/>
    <mergeCell ref="A6:E6"/>
    <mergeCell ref="E3:E4"/>
    <mergeCell ref="D3:D4"/>
    <mergeCell ref="C3:C4"/>
    <mergeCell ref="B3:B4"/>
  </mergeCells>
  <phoneticPr fontId="2" type="noConversion"/>
  <dataValidations count="3">
    <dataValidation type="list" allowBlank="1" showInputMessage="1" showErrorMessage="1" sqref="AA5 AA8:AA9" xr:uid="{76BDE61D-4B32-4330-AD3A-0E6A0106375A}">
      <formula1>"限SKU,限SPU,限店铺"</formula1>
    </dataValidation>
    <dataValidation type="list" allowBlank="1" showInputMessage="1" showErrorMessage="1" sqref="Z8:Z9" xr:uid="{29A696F1-7D3E-4677-8CD5-BA1F4F2FF27D}">
      <formula1>"东券,京券"</formula1>
    </dataValidation>
    <dataValidation type="list" allowBlank="1" showInputMessage="1" showErrorMessage="1" sqref="AC8:AE9" xr:uid="{50024EB7-00F8-4E58-AAD8-8D992FF6819B}">
      <formula1>"是,否"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折扣券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2024-12-11T06:33:52Z</dcterms:modified>
</cp:coreProperties>
</file>