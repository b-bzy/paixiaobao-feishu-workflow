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181BBC37-91A2-4CC6-A294-20AB7798F958}" xr6:coauthVersionLast="47" xr6:coauthVersionMax="47" xr10:uidLastSave="{00000000-0000-0000-0000-000000000000}"/>
  <bookViews>
    <workbookView xWindow="1680" yWindow="-16320" windowWidth="29040" windowHeight="15720" xr2:uid="{116E0738-B4DB-42AE-BF0E-527B10634C3F}"/>
  </bookViews>
  <sheets>
    <sheet name="满减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W2" i="1" s="1"/>
  <c r="S2" i="1" l="1"/>
  <c r="L2" i="1"/>
</calcChain>
</file>

<file path=xl/sharedStrings.xml><?xml version="1.0" encoding="utf-8"?>
<sst xmlns="http://schemas.openxmlformats.org/spreadsheetml/2006/main" count="80" uniqueCount="71">
  <si>
    <t>批次Id</t>
  </si>
  <si>
    <t>优惠券活动配置KEY(putKey)</t>
  </si>
  <si>
    <t>PC端领券链接</t>
  </si>
  <si>
    <t>M端领券链接</t>
  </si>
  <si>
    <t>申请人</t>
  </si>
  <si>
    <t>优惠券名称</t>
  </si>
  <si>
    <t>活动名称</t>
  </si>
  <si>
    <t>总申请数量</t>
  </si>
  <si>
    <t>面额</t>
  </si>
  <si>
    <t>限额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</si>
  <si>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</si>
  <si>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</si>
  <si>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</si>
  <si>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</si>
  <si>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</si>
  <si>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</si>
  <si>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</si>
  <si>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</si>
  <si>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</si>
  <si>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活动ID</t>
  </si>
  <si>
    <t>配券人填写，优惠券生效后反馈</t>
    <phoneticPr fontId="3" type="noConversion"/>
  </si>
  <si>
    <t>填写申请优惠券人姓名</t>
    <phoneticPr fontId="3" type="noConversion"/>
  </si>
  <si>
    <t>可领时间</t>
    <phoneticPr fontId="3" type="noConversion"/>
  </si>
  <si>
    <t>可用时间</t>
    <phoneticPr fontId="3" type="noConversion"/>
  </si>
  <si>
    <t>优惠券活动支持用户领取或发放时间</t>
    <phoneticPr fontId="3" type="noConversion"/>
  </si>
  <si>
    <t>优惠券支持用户领取到账后使用的时间</t>
    <phoneticPr fontId="3" type="noConversion"/>
  </si>
  <si>
    <t>此优惠券活动申请总量，最大可支持发放张数上限</t>
    <phoneticPr fontId="3" type="noConversion"/>
  </si>
  <si>
    <t>单次发放到账张数</t>
    <phoneticPr fontId="3" type="noConversion"/>
  </si>
  <si>
    <t>每日领取次数</t>
    <phoneticPr fontId="3" type="noConversion"/>
  </si>
  <si>
    <t>用户领取一次或者一次发放行为，同时到账的优惠券数量。例：单次到账张数2，用户在前台点击领取1次，同时到账2张券</t>
    <phoneticPr fontId="3" type="noConversion"/>
  </si>
  <si>
    <t>优惠券每天支持领取的时间，及每天该时间段支持领取的最大次数（非时段发放张数）例：单次发放到账张数为2，每日领取次数为500，则可支持500次用户领取1000张券</t>
    <phoneticPr fontId="3" type="noConversion"/>
  </si>
  <si>
    <t>此处有公式可复用</t>
    <phoneticPr fontId="3" type="noConversion"/>
  </si>
  <si>
    <t>平台承担优惠券费用的比例
严选和自营店铺都是平台承担默认100%</t>
    <phoneticPr fontId="3" type="noConversion"/>
  </si>
  <si>
    <t>根据业务情况预估</t>
    <phoneticPr fontId="3" type="noConversion"/>
  </si>
  <si>
    <t>根据业务情况预估
（建券侧可提供历史批次数据参考）</t>
    <phoneticPr fontId="3" type="noConversion"/>
  </si>
  <si>
    <t>东券</t>
    <phoneticPr fontId="3" type="noConversion"/>
  </si>
  <si>
    <t>限品类平台券默认东券</t>
    <phoneticPr fontId="3" type="noConversion"/>
  </si>
  <si>
    <t>限SKU</t>
  </si>
  <si>
    <t>根据业务需求填写
（限sku、限spu、限店铺）</t>
    <phoneticPr fontId="3" type="noConversion"/>
  </si>
  <si>
    <t>领券用户风控</t>
    <phoneticPr fontId="3" type="noConversion"/>
  </si>
  <si>
    <t>0级以下用户可领</t>
    <phoneticPr fontId="3" type="noConversion"/>
  </si>
  <si>
    <t>用户领券规则</t>
    <phoneticPr fontId="3" type="noConversion"/>
  </si>
  <si>
    <t>根据业务需求填写
（活动期间仅可领一次或者活动期间每天可领一次）</t>
    <phoneticPr fontId="3" type="noConversion"/>
  </si>
  <si>
    <t>优惠券赠送</t>
    <phoneticPr fontId="3" type="noConversion"/>
  </si>
  <si>
    <t>根据业务需求填写
（允许或者不允许）</t>
    <phoneticPr fontId="3" type="noConversion"/>
  </si>
  <si>
    <t>活动期间仅可领一次</t>
    <phoneticPr fontId="3" type="noConversion"/>
  </si>
  <si>
    <t>允许</t>
    <phoneticPr fontId="3" type="noConversion"/>
  </si>
  <si>
    <t>推广途径</t>
    <phoneticPr fontId="3" type="noConversion"/>
  </si>
  <si>
    <t>根据业务需求填写</t>
  </si>
  <si>
    <t>根据业务需求填写</t>
    <phoneticPr fontId="3" type="noConversion"/>
  </si>
  <si>
    <t>公开自动推广</t>
    <phoneticPr fontId="3" type="noConversion"/>
  </si>
  <si>
    <t>根据业务需求填写
（公开自动推广或者非公开推广）</t>
    <phoneticPr fontId="3" type="noConversion"/>
  </si>
  <si>
    <t>公开推广渠道</t>
    <phoneticPr fontId="3" type="noConversion"/>
  </si>
  <si>
    <t>单品页购物车、领券中心</t>
    <phoneticPr fontId="3" type="noConversion"/>
  </si>
  <si>
    <t>请删除示意行</t>
    <phoneticPr fontId="3" type="noConversion"/>
  </si>
  <si>
    <t>12.7 0:00-12.8 23:59</t>
    <phoneticPr fontId="4" type="noConversion"/>
  </si>
  <si>
    <t>电脑数码双12开门红</t>
    <phoneticPr fontId="3" type="noConversion"/>
  </si>
  <si>
    <t>用券渠道</t>
    <phoneticPr fontId="3" type="noConversion"/>
  </si>
  <si>
    <t>xxx</t>
    <phoneticPr fontId="3" type="noConversion"/>
  </si>
  <si>
    <t>京东商城</t>
    <phoneticPr fontId="3" type="noConversion"/>
  </si>
  <si>
    <r>
      <t>举例如上，</t>
    </r>
    <r>
      <rPr>
        <b/>
        <sz val="11"/>
        <color rgb="FFFF0000"/>
        <rFont val="等线"/>
        <family val="3"/>
        <charset val="134"/>
        <scheme val="minor"/>
      </rPr>
      <t>填写时请删除示意行，注意一行为一个批次活动，KEY用券链接都是不同的</t>
    </r>
    <phoneticPr fontId="3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</si>
  <si>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3" type="noConversion"/>
  </si>
  <si>
    <r>
      <rPr>
        <b/>
        <sz val="11"/>
        <color rgb="FFFF0000"/>
        <rFont val="等线"/>
        <family val="3"/>
        <charset val="134"/>
        <scheme val="minor"/>
      </rPr>
      <t>推广途径选择公开时填写</t>
    </r>
    <r>
      <rPr>
        <b/>
        <sz val="11"/>
        <color theme="1"/>
        <rFont val="等线"/>
        <family val="3"/>
        <charset val="134"/>
        <scheme val="minor"/>
      </rPr>
      <t xml:space="preserve">
（全网推广、单品页购物车、领券中心、公开券池）</t>
    </r>
    <r>
      <rPr>
        <b/>
        <sz val="11"/>
        <color rgb="FFFF0000"/>
        <rFont val="等线"/>
        <family val="3"/>
        <charset val="134"/>
        <scheme val="minor"/>
      </rPr>
      <t>可多选</t>
    </r>
    <phoneticPr fontId="3" type="noConversion"/>
  </si>
  <si>
    <t>领券用户</t>
    <phoneticPr fontId="3" type="noConversion"/>
  </si>
  <si>
    <t>PLUS会员</t>
    <phoneticPr fontId="3" type="noConversion"/>
  </si>
  <si>
    <t>此模板为plus会员模板，统一填写plus会员</t>
    <phoneticPr fontId="3" type="noConversion"/>
  </si>
  <si>
    <t>根据平台侧风控规则目前默认一律0级以下用户可领</t>
    <phoneticPr fontId="3" type="noConversion"/>
  </si>
  <si>
    <t>特殊业务标签</t>
    <phoneticPr fontId="3" type="noConversion"/>
  </si>
  <si>
    <t>大促神券</t>
    <phoneticPr fontId="3" type="noConversion"/>
  </si>
  <si>
    <t>此模板为大促神券模板，统一填写大促神券</t>
    <phoneticPr fontId="3" type="noConversion"/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</si>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</sst>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AF31"/>
  <sheetViews>
    <sheetView tabSelected="1" zoomScale="85" zoomScaleNormal="85" workbookViewId="0">
      <selection activeCell="L1" sqref="L1"/>
    </sheetView>
  </sheetViews>
  <sheetFormatPr defaultRowHeight="13.8" x14ac:dyDescent="0.25"/>
  <cols>
    <col min="1" max="2" width="8.88671875" style="2"/>
    <col min="3" max="3" width="16.109375" style="2" customWidth="1"/>
    <col min="4" max="4" width="14.5546875" style="2" customWidth="1"/>
    <col min="5" max="8" width="16.44140625" style="2" customWidth="1"/>
    <col min="9" max="9" width="14" style="2" customWidth="1"/>
    <col min="10" max="10" width="11.44140625" style="2" customWidth="1"/>
    <col min="11" max="11" width="14.109375" style="2" customWidth="1"/>
    <col min="12" max="12" width="14.88671875" style="2" customWidth="1"/>
    <col min="13" max="13" width="12.5546875" style="2" customWidth="1"/>
    <col min="14" max="14" width="12.109375" style="2" customWidth="1"/>
    <col min="15" max="15" width="16.88671875" style="2" customWidth="1"/>
    <col min="16" max="16" width="22.6640625" style="2" customWidth="1"/>
    <col min="17" max="18" width="8.88671875" style="2"/>
    <col min="19" max="19" width="13.44140625" style="2" customWidth="1"/>
    <col min="20" max="20" width="14" style="2" customWidth="1"/>
    <col min="21" max="21" width="14.44140625" style="2" customWidth="1"/>
    <col min="22" max="22" width="11.77734375" style="2" customWidth="1"/>
    <col min="23" max="23" width="12.21875" style="2" customWidth="1"/>
    <col min="24" max="24" width="11.77734375" style="2" customWidth="1"/>
    <col min="25" max="25" width="10.6640625" style="2" customWidth="1"/>
    <col min="26" max="26" width="13.109375" style="2" customWidth="1"/>
    <col min="27" max="27" width="10.33203125" style="2" customWidth="1"/>
    <col min="28" max="28" width="19.21875" style="2" customWidth="1"/>
    <col min="29" max="29" width="22.44140625" style="2" customWidth="1"/>
    <col min="30" max="30" width="12" style="2" customWidth="1"/>
    <col min="31" max="31" width="21.5546875" style="2" customWidth="1"/>
    <col min="32" max="32" width="32.44140625" customWidth="1"/>
  </cols>
  <sheetData>
    <row r="1" spans="1:32" ht="36.6" customHeight="1" x14ac:dyDescent="0.25">
      <c r="A1" s="3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13" t="s">
        <v>67</v>
      </c>
      <c r="G1" s="13" t="s">
        <v>63</v>
      </c>
      <c r="H1" s="13" t="s">
        <v>57</v>
      </c>
      <c r="I1" s="13" t="s">
        <v>4</v>
      </c>
      <c r="J1" s="13" t="s">
        <v>22</v>
      </c>
      <c r="K1" s="13" t="s">
        <v>23</v>
      </c>
      <c r="L1" s="19" t="s">
        <v>5</v>
      </c>
      <c r="M1" s="13" t="s">
        <v>6</v>
      </c>
      <c r="N1" s="13" t="s">
        <v>7</v>
      </c>
      <c r="O1" s="13" t="s">
        <v>27</v>
      </c>
      <c r="P1" s="13" t="s">
        <v>28</v>
      </c>
      <c r="Q1" s="13" t="s">
        <v>8</v>
      </c>
      <c r="R1" s="13" t="s">
        <v>9</v>
      </c>
      <c r="S1" s="13" t="s">
        <v>10</v>
      </c>
      <c r="T1" s="13" t="s">
        <v>11</v>
      </c>
      <c r="U1" s="13" t="s">
        <v>12</v>
      </c>
      <c r="V1" s="13" t="s">
        <v>13</v>
      </c>
      <c r="W1" s="13" t="s">
        <v>14</v>
      </c>
      <c r="X1" s="13" t="s">
        <v>15</v>
      </c>
      <c r="Y1" s="13" t="s">
        <v>16</v>
      </c>
      <c r="Z1" s="13" t="s">
        <v>17</v>
      </c>
      <c r="AA1" s="13" t="s">
        <v>18</v>
      </c>
      <c r="AB1" s="13" t="s">
        <v>39</v>
      </c>
      <c r="AC1" s="13" t="s">
        <v>41</v>
      </c>
      <c r="AD1" s="13" t="s">
        <v>43</v>
      </c>
      <c r="AE1" s="13" t="s">
        <v>47</v>
      </c>
      <c r="AF1" s="13" t="s">
        <v>52</v>
      </c>
    </row>
    <row r="2" spans="1:32" s="2" customFormat="1" ht="33" customHeight="1" x14ac:dyDescent="0.25">
      <c r="A2" s="7" t="s">
        <v>54</v>
      </c>
      <c r="B2" s="7" t="s">
        <v>54</v>
      </c>
      <c r="C2" s="7" t="s">
        <v>54</v>
      </c>
      <c r="D2" s="7" t="s">
        <v>54</v>
      </c>
      <c r="E2" s="7" t="s">
        <v>54</v>
      </c>
      <c r="F2" s="14" t="s">
        <v>68</v>
      </c>
      <c r="G2" s="8" t="s">
        <v>64</v>
      </c>
      <c r="H2" s="8" t="s">
        <v>59</v>
      </c>
      <c r="I2" s="8" t="s">
        <v>58</v>
      </c>
      <c r="J2" s="2" t="s">
        <v>55</v>
      </c>
      <c r="K2" s="1" t="s">
        <v>55</v>
      </c>
      <c r="L2" s="1" t="str">
        <f>"满"&amp;R2&amp;"减"&amp;Q2</f>
        <v>满1999减100</v>
      </c>
      <c r="M2" s="1" t="s">
        <v>56</v>
      </c>
      <c r="N2" s="1">
        <v>2000</v>
      </c>
      <c r="O2" s="1">
        <v>2</v>
      </c>
      <c r="P2" s="1">
        <v>500</v>
      </c>
      <c r="Q2" s="1">
        <v>100</v>
      </c>
      <c r="R2" s="1">
        <v>1999</v>
      </c>
      <c r="S2" s="4">
        <f>Q2/R2</f>
        <v>5.0025012506253123E-2</v>
      </c>
      <c r="T2" s="6">
        <v>0.1</v>
      </c>
      <c r="U2" s="6">
        <v>0.02</v>
      </c>
      <c r="V2" s="5">
        <v>0.5</v>
      </c>
      <c r="W2" s="1">
        <f>Y2/X2</f>
        <v>49.999499999999998</v>
      </c>
      <c r="X2" s="1">
        <f>N2*Q2*U2*V2</f>
        <v>2000</v>
      </c>
      <c r="Y2" s="1">
        <v>99999</v>
      </c>
      <c r="Z2" s="1" t="s">
        <v>35</v>
      </c>
      <c r="AA2" s="1" t="s">
        <v>37</v>
      </c>
      <c r="AB2" s="1" t="s">
        <v>40</v>
      </c>
      <c r="AC2" s="1" t="s">
        <v>45</v>
      </c>
      <c r="AD2" s="1" t="s">
        <v>46</v>
      </c>
      <c r="AE2" s="1" t="s">
        <v>50</v>
      </c>
      <c r="AF2" s="1" t="s">
        <v>53</v>
      </c>
    </row>
    <row r="3" spans="1:32" ht="158.4" customHeight="1" x14ac:dyDescent="0.25">
      <c r="A3" s="15" t="s">
        <v>20</v>
      </c>
      <c r="B3" s="16"/>
      <c r="C3" s="16"/>
      <c r="D3" s="16"/>
      <c r="E3" s="17"/>
      <c r="F3" s="9" t="s">
        <v>69</v>
      </c>
      <c r="G3" s="9" t="s">
        <v>65</v>
      </c>
      <c r="H3" s="9" t="s">
        <v>61</v>
      </c>
      <c r="I3" s="10" t="s">
        <v>21</v>
      </c>
      <c r="J3" s="11" t="s">
        <v>24</v>
      </c>
      <c r="K3" s="11" t="s">
        <v>25</v>
      </c>
      <c r="L3" s="11" t="s">
        <v>70</v>
      </c>
      <c r="M3" s="11" t="s">
        <v>49</v>
      </c>
      <c r="N3" s="11" t="s">
        <v>26</v>
      </c>
      <c r="O3" s="11" t="s">
        <v>29</v>
      </c>
      <c r="P3" s="11" t="s">
        <v>30</v>
      </c>
      <c r="Q3" s="11" t="s">
        <v>48</v>
      </c>
      <c r="R3" s="11" t="s">
        <v>49</v>
      </c>
      <c r="S3" s="11" t="s">
        <v>31</v>
      </c>
      <c r="T3" s="11" t="s">
        <v>34</v>
      </c>
      <c r="U3" s="11" t="s">
        <v>34</v>
      </c>
      <c r="V3" s="11" t="s">
        <v>32</v>
      </c>
      <c r="W3" s="11" t="s">
        <v>31</v>
      </c>
      <c r="X3" s="11" t="s">
        <v>31</v>
      </c>
      <c r="Y3" s="11" t="s">
        <v>33</v>
      </c>
      <c r="Z3" s="11" t="s">
        <v>36</v>
      </c>
      <c r="AA3" s="11" t="s">
        <v>38</v>
      </c>
      <c r="AB3" s="11" t="s">
        <v>66</v>
      </c>
      <c r="AC3" s="11" t="s">
        <v>42</v>
      </c>
      <c r="AD3" s="11" t="s">
        <v>44</v>
      </c>
      <c r="AE3" s="11" t="s">
        <v>51</v>
      </c>
      <c r="AF3" s="11" t="s">
        <v>62</v>
      </c>
    </row>
    <row r="4" spans="1:32" ht="21.6" customHeight="1" x14ac:dyDescent="0.25">
      <c r="A4" s="18" t="s">
        <v>60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31" spans="17:17" x14ac:dyDescent="0.25">
      <c r="Q31" s="12"/>
    </row>
  </sheetData>
  <mergeCells count="2">
    <mergeCell ref="A3:E3"/>
    <mergeCell ref="A4:AF4"/>
  </mergeCells>
  <phoneticPr fontId="3" type="noConversion"/>
  <dataValidations count="3">
    <dataValidation type="list" allowBlank="1" showInputMessage="1" showErrorMessage="1" sqref="AA2 AA5:AA6" xr:uid="{76BDE61D-4B32-4330-AD3A-0E6A0106375A}">
      <formula1>"限SKU,限SPU,限店铺"</formula1>
    </dataValidation>
    <dataValidation type="list" allowBlank="1" showInputMessage="1" showErrorMessage="1" sqref="Z5:Z6" xr:uid="{29A696F1-7D3E-4677-8CD5-BA1F4F2FF27D}">
      <formula1>"东券,京券"</formula1>
    </dataValidation>
    <dataValidation type="list" allowBlank="1" showInputMessage="1" showErrorMessage="1" sqref="AC5:AE6" xr:uid="{50024EB7-00F8-4E58-AAD8-8D992FF6819B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满减券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2024-12-11T09:48:08Z</dcterms:modified>
</cp:coreProperties>
</file>